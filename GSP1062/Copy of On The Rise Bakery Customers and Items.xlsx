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Items Sorted By Unit Price" sheetId="2" r:id="rId6"/>
    <sheet state="visible" name="Items" sheetId="3" r:id="rId7"/>
  </sheets>
  <definedNames>
    <definedName hidden="1" localSheetId="1" name="_xlnm._FilterDatabase">'Items Sorted By Unit Price'!$A$1:$A$1000</definedName>
    <definedName hidden="1" localSheetId="1" name="Z_CF581F5B_5766_49BB_9E99_576672442F3C_.wvu.FilterData">'Items Sorted By Unit Price'!$A$1:$Z$1000</definedName>
  </definedNames>
  <calcPr/>
  <customWorkbookViews>
    <customWorkbookView activeSheetId="0" maximized="1" windowHeight="0" windowWidth="0" guid="{CF581F5B-5766-49BB-9E99-576672442F3C}" name="Filter 1"/>
  </customWorkbookViews>
</workbook>
</file>

<file path=xl/sharedStrings.xml><?xml version="1.0" encoding="utf-8"?>
<sst xmlns="http://schemas.openxmlformats.org/spreadsheetml/2006/main" count="352" uniqueCount="299">
  <si>
    <t>First Name</t>
  </si>
  <si>
    <t>Item Name</t>
  </si>
  <si>
    <t>Formatted Name</t>
  </si>
  <si>
    <t>Last Name</t>
  </si>
  <si>
    <t>Email Address</t>
  </si>
  <si>
    <t>Valid Email Address?</t>
  </si>
  <si>
    <t>Unit Price</t>
  </si>
  <si>
    <t>Number of Items</t>
  </si>
  <si>
    <t>Total Cost</t>
  </si>
  <si>
    <t>Personalized Greeting</t>
  </si>
  <si>
    <t>Truncated Unit Prices</t>
  </si>
  <si>
    <t>Biscuit</t>
  </si>
  <si>
    <t xml:space="preserve">Hodges         </t>
  </si>
  <si>
    <t>Aaron</t>
  </si>
  <si>
    <t>Hodges.Aaron@mail.com</t>
  </si>
  <si>
    <t>Mini Muffins</t>
  </si>
  <si>
    <t>Glazed Donuts</t>
  </si>
  <si>
    <t>Cinnamon bun</t>
  </si>
  <si>
    <t xml:space="preserve">Chelsea            </t>
  </si>
  <si>
    <t>Acevedo</t>
  </si>
  <si>
    <t>Chelsea.Acevedo@mail.com</t>
  </si>
  <si>
    <t>Donut holes</t>
  </si>
  <si>
    <t>Donut Holes</t>
  </si>
  <si>
    <t>Chocolate Donuts</t>
  </si>
  <si>
    <t>Adaobi</t>
  </si>
  <si>
    <t>Okeke</t>
  </si>
  <si>
    <t>Adaobi.Okeke@mailcom</t>
  </si>
  <si>
    <t>Cinnamon Bun</t>
  </si>
  <si>
    <t>Abigail</t>
  </si>
  <si>
    <t>Bautista</t>
  </si>
  <si>
    <t>Abigail.Bautista@mail.com</t>
  </si>
  <si>
    <t>Keith</t>
  </si>
  <si>
    <t>Baxter</t>
  </si>
  <si>
    <t>Keith.Baxter@mail.com</t>
  </si>
  <si>
    <t>Erica</t>
  </si>
  <si>
    <t>Callahan</t>
  </si>
  <si>
    <t>Erica.Callahan@mail.com</t>
  </si>
  <si>
    <t>Alison</t>
  </si>
  <si>
    <t>Cameron</t>
  </si>
  <si>
    <t>Alison.Cameron@mail.com</t>
  </si>
  <si>
    <t>Rhonda</t>
  </si>
  <si>
    <t>Case</t>
  </si>
  <si>
    <t>Rhonda.Case@mail.com</t>
  </si>
  <si>
    <t>Samantha</t>
  </si>
  <si>
    <t>Day</t>
  </si>
  <si>
    <t>Samantha.Day@mail.com</t>
  </si>
  <si>
    <t>Beard</t>
  </si>
  <si>
    <t>Eddie</t>
  </si>
  <si>
    <t>Beard.Eddie@mail.com</t>
  </si>
  <si>
    <t>Baker</t>
  </si>
  <si>
    <t>Edgar</t>
  </si>
  <si>
    <t>Baker.Edgar@mail.com</t>
  </si>
  <si>
    <t>Kayla</t>
  </si>
  <si>
    <t>Ellis</t>
  </si>
  <si>
    <t>Kayla.Ellis@mail.com</t>
  </si>
  <si>
    <t>Susan</t>
  </si>
  <si>
    <t>Faulkner</t>
  </si>
  <si>
    <t>Susan.Faulkner@mail.com</t>
  </si>
  <si>
    <t>Steven</t>
  </si>
  <si>
    <t>Ferguson</t>
  </si>
  <si>
    <t>Steven.Ferguson@mail.com</t>
  </si>
  <si>
    <t>Mia</t>
  </si>
  <si>
    <t>Gaines</t>
  </si>
  <si>
    <t>Mia.Gaines@mail.com</t>
  </si>
  <si>
    <t>Stephanie</t>
  </si>
  <si>
    <t>Garrison</t>
  </si>
  <si>
    <t>Stephanie.Garrison@mail.com</t>
  </si>
  <si>
    <t>Black</t>
  </si>
  <si>
    <t>Gerald</t>
  </si>
  <si>
    <t>Black.Gerald@mail.com</t>
  </si>
  <si>
    <t>Priti</t>
  </si>
  <si>
    <t>Shah</t>
  </si>
  <si>
    <t>Priti.Shah@mail.com</t>
  </si>
  <si>
    <t>Jacob</t>
  </si>
  <si>
    <t>Spears</t>
  </si>
  <si>
    <t>Jacob.Spears@mail.com</t>
  </si>
  <si>
    <t>Michael</t>
  </si>
  <si>
    <t>Spencer</t>
  </si>
  <si>
    <t>Stacey.Spencer@mail.com</t>
  </si>
  <si>
    <t>Stacey</t>
  </si>
  <si>
    <t>Maynard</t>
  </si>
  <si>
    <t>Maynard.Stacey@mail.com</t>
  </si>
  <si>
    <t>Ryan</t>
  </si>
  <si>
    <t>Stacie</t>
  </si>
  <si>
    <t>Ryan.Stacie@mail.com</t>
  </si>
  <si>
    <t>Lee</t>
  </si>
  <si>
    <t>Stacy</t>
  </si>
  <si>
    <t>Lee.Stacy@mail.com</t>
  </si>
  <si>
    <t>Tyrone</t>
  </si>
  <si>
    <t>Yates</t>
  </si>
  <si>
    <t>Tyrone.Yates@mail.com</t>
  </si>
  <si>
    <t>Sexton</t>
  </si>
  <si>
    <t>Yesenia</t>
  </si>
  <si>
    <t>Sexton.Yesenia@mail.com</t>
  </si>
  <si>
    <t>Christopher</t>
  </si>
  <si>
    <t>Yoder</t>
  </si>
  <si>
    <t>Christopher.Yoder@mail.com</t>
  </si>
  <si>
    <t>Young</t>
  </si>
  <si>
    <t>Yolanda</t>
  </si>
  <si>
    <t>Young.Yolanda@mail.com</t>
  </si>
  <si>
    <t>Autumn</t>
  </si>
  <si>
    <t>York</t>
  </si>
  <si>
    <t>Autumn.York@mail.com</t>
  </si>
  <si>
    <t>Joshua</t>
  </si>
  <si>
    <t>Yu</t>
  </si>
  <si>
    <t>Joshua.Yu@mail.com</t>
  </si>
  <si>
    <t>Kimberly</t>
  </si>
  <si>
    <t>Charles</t>
  </si>
  <si>
    <t>Zavala</t>
  </si>
  <si>
    <t>Charles.Zavala@mail.com</t>
  </si>
  <si>
    <t>Stone</t>
  </si>
  <si>
    <t>Zoe</t>
  </si>
  <si>
    <t>Stone.Zoe@mail.com</t>
  </si>
  <si>
    <t>Mendez</t>
  </si>
  <si>
    <t>Traci</t>
  </si>
  <si>
    <t>Mendez.Traci@mail.com</t>
  </si>
  <si>
    <t>Weber</t>
  </si>
  <si>
    <t>Tracie</t>
  </si>
  <si>
    <t>Weber.Tracie@mail.com</t>
  </si>
  <si>
    <t>Pierre</t>
  </si>
  <si>
    <t>Thelus</t>
  </si>
  <si>
    <t>Pierre.Thelus@mail.com</t>
  </si>
  <si>
    <t>Jamie</t>
  </si>
  <si>
    <t>Tran</t>
  </si>
  <si>
    <t>Jamie.Tran@mail.com</t>
  </si>
  <si>
    <t>Travis</t>
  </si>
  <si>
    <t>Michael.Travis@mail.com</t>
  </si>
  <si>
    <t>Eduardo</t>
  </si>
  <si>
    <t>Trevino</t>
  </si>
  <si>
    <t>Eduardo.Trevino@mail.com</t>
  </si>
  <si>
    <t>Bridget</t>
  </si>
  <si>
    <t>Harmon</t>
  </si>
  <si>
    <t>Bridget.Harmon@mail.com</t>
  </si>
  <si>
    <t>Rodriguez</t>
  </si>
  <si>
    <t>Harold</t>
  </si>
  <si>
    <t>Rodriguez.Harold@mail.com</t>
  </si>
  <si>
    <t>Rebecca</t>
  </si>
  <si>
    <t>Harper</t>
  </si>
  <si>
    <t>Rebecca.Harper@mail.com</t>
  </si>
  <si>
    <t>Rachel</t>
  </si>
  <si>
    <t>Harrell</t>
  </si>
  <si>
    <t>Rachel.Harrell@mail.com</t>
  </si>
  <si>
    <t>Joy</t>
  </si>
  <si>
    <t>Harrington</t>
  </si>
  <si>
    <t>Joy.Harrington@mail.com</t>
  </si>
  <si>
    <t>Bradley</t>
  </si>
  <si>
    <t>Harris</t>
  </si>
  <si>
    <t>Bradley.Harris@mail.com</t>
  </si>
  <si>
    <t>Thomas</t>
  </si>
  <si>
    <t>Harrison</t>
  </si>
  <si>
    <t>Thomas.Harrison@mail.com</t>
  </si>
  <si>
    <t>Raymond</t>
  </si>
  <si>
    <t>Harry</t>
  </si>
  <si>
    <t>Raymond.Harry@mail.com</t>
  </si>
  <si>
    <t>William</t>
  </si>
  <si>
    <t>Hart</t>
  </si>
  <si>
    <t>William.Hart@mail.com</t>
  </si>
  <si>
    <t>Elizabeth</t>
  </si>
  <si>
    <t>Hartman</t>
  </si>
  <si>
    <t>Elizabeth.Hartman@mail.com</t>
  </si>
  <si>
    <t>Shaun</t>
  </si>
  <si>
    <t>Harvey</t>
  </si>
  <si>
    <t>Shaun.Harvey@mail.com</t>
  </si>
  <si>
    <t>Sierra</t>
  </si>
  <si>
    <t>Hatfield</t>
  </si>
  <si>
    <t>Sierra.Hatfield@mail.com</t>
  </si>
  <si>
    <t>Roy</t>
  </si>
  <si>
    <t>Hawkins</t>
  </si>
  <si>
    <t>Roy.Hawkins@mail.com</t>
  </si>
  <si>
    <t>Martha</t>
  </si>
  <si>
    <t>Hayden</t>
  </si>
  <si>
    <t>Martha.Hayden@mail.com</t>
  </si>
  <si>
    <t>Taylor</t>
  </si>
  <si>
    <t>Hayes</t>
  </si>
  <si>
    <t>Taylor.Hayes@mail.com</t>
  </si>
  <si>
    <t>Scott</t>
  </si>
  <si>
    <t>Joyce</t>
  </si>
  <si>
    <t>Scott.Joyce@mail.com</t>
  </si>
  <si>
    <t>Moore</t>
  </si>
  <si>
    <t>Juan</t>
  </si>
  <si>
    <t>Moore.Juan@mail.com</t>
  </si>
  <si>
    <t>Brianna</t>
  </si>
  <si>
    <t>Juarez</t>
  </si>
  <si>
    <t>Brianna.Juarez@mail.com</t>
  </si>
  <si>
    <t>Daniels</t>
  </si>
  <si>
    <t>Judith</t>
  </si>
  <si>
    <t>Daniels.Judith@mail.com</t>
  </si>
  <si>
    <t>Villa</t>
  </si>
  <si>
    <t>Judy</t>
  </si>
  <si>
    <t>Villa.Judy@mail.com</t>
  </si>
  <si>
    <t>Julia</t>
  </si>
  <si>
    <t>Bradley.Julia@mail.com</t>
  </si>
  <si>
    <t>Duarte</t>
  </si>
  <si>
    <t>Julian</t>
  </si>
  <si>
    <t>Duarte.Julian@mail.com</t>
  </si>
  <si>
    <t>Leonard</t>
  </si>
  <si>
    <t>Julie</t>
  </si>
  <si>
    <t>Leonard.Julie@mail.com</t>
  </si>
  <si>
    <t>Jackson</t>
  </si>
  <si>
    <t>Justin</t>
  </si>
  <si>
    <t>Jackson.Justin@mail.com</t>
  </si>
  <si>
    <t>Sharon</t>
  </si>
  <si>
    <t>Kaiser</t>
  </si>
  <si>
    <t>Sharon.Kaiser@mail.com</t>
  </si>
  <si>
    <t>Richardson</t>
  </si>
  <si>
    <t>Kaitlin</t>
  </si>
  <si>
    <t>Richardson.Kaitlin@mail.com</t>
  </si>
  <si>
    <t>Kaitlyn</t>
  </si>
  <si>
    <t>Jackson.Kaitlyn@mail.com</t>
  </si>
  <si>
    <t>Christine</t>
  </si>
  <si>
    <t>Kane</t>
  </si>
  <si>
    <t>Christine.Kane@mail.com</t>
  </si>
  <si>
    <t>Pierce</t>
  </si>
  <si>
    <t>Kara</t>
  </si>
  <si>
    <t>Pierce.Kara@mail.com</t>
  </si>
  <si>
    <t>Bush</t>
  </si>
  <si>
    <t>Karen</t>
  </si>
  <si>
    <t>Bush.Karen@mail.com</t>
  </si>
  <si>
    <t>Glover</t>
  </si>
  <si>
    <t>Kari</t>
  </si>
  <si>
    <t>Glover.Kari@mail.com</t>
  </si>
  <si>
    <t>Patel</t>
  </si>
  <si>
    <t>Karina</t>
  </si>
  <si>
    <t>Patel.Karina@mail.com</t>
  </si>
  <si>
    <t>Victor</t>
  </si>
  <si>
    <t>Melendez</t>
  </si>
  <si>
    <t>Victor.Melendez@mail.com</t>
  </si>
  <si>
    <t>Gonzales</t>
  </si>
  <si>
    <t>Melinda</t>
  </si>
  <si>
    <t>Gonzales.Melinda@mail.com</t>
  </si>
  <si>
    <t>Clements</t>
  </si>
  <si>
    <t>Melissa</t>
  </si>
  <si>
    <t>Clements.Melissa@mail.com</t>
  </si>
  <si>
    <t>Obrien</t>
  </si>
  <si>
    <t>Melody</t>
  </si>
  <si>
    <t>Obrien.Melody@mail.com</t>
  </si>
  <si>
    <t>Adrian</t>
  </si>
  <si>
    <t>Melton</t>
  </si>
  <si>
    <t>Adrian.Melton@mail.com</t>
  </si>
  <si>
    <t>Melvin</t>
  </si>
  <si>
    <t>Weber.Melvin@mail.com</t>
  </si>
  <si>
    <t>Jill</t>
  </si>
  <si>
    <t>Jill.Mendez@mail.com</t>
  </si>
  <si>
    <t>Katherine</t>
  </si>
  <si>
    <t>Mendoza</t>
  </si>
  <si>
    <t>Katherine.Mendoza@mail.com</t>
  </si>
  <si>
    <t>Meredith</t>
  </si>
  <si>
    <t>Mercado</t>
  </si>
  <si>
    <t>Meredith.Mercado@mail.com</t>
  </si>
  <si>
    <t>Evans</t>
  </si>
  <si>
    <t>Mercedes</t>
  </si>
  <si>
    <t>Evans.Mercedes@mail.com</t>
  </si>
  <si>
    <t>Darryl</t>
  </si>
  <si>
    <t>Mercer</t>
  </si>
  <si>
    <t>Darryl.Mercer@mail.com</t>
  </si>
  <si>
    <t>Richard</t>
  </si>
  <si>
    <t>Mcneil</t>
  </si>
  <si>
    <t>Richard.Mcneil@mail.com</t>
  </si>
  <si>
    <t>Dakota</t>
  </si>
  <si>
    <t>Mcpherson</t>
  </si>
  <si>
    <t>Dakota.Mcpherson@mail.com</t>
  </si>
  <si>
    <t>Dennis</t>
  </si>
  <si>
    <t>Meadows</t>
  </si>
  <si>
    <t>Dennis.Meadows@mail.com</t>
  </si>
  <si>
    <t>Hoover</t>
  </si>
  <si>
    <t>Meagan</t>
  </si>
  <si>
    <t>Hoover.Meagan@mail.com</t>
  </si>
  <si>
    <t>Amy</t>
  </si>
  <si>
    <t>Medina</t>
  </si>
  <si>
    <t>Amy.Medina@mail.com</t>
  </si>
  <si>
    <t>Gill</t>
  </si>
  <si>
    <t>Megan</t>
  </si>
  <si>
    <t>Gill.Megan@mail.com</t>
  </si>
  <si>
    <t>Herring</t>
  </si>
  <si>
    <t>Meghan</t>
  </si>
  <si>
    <t>Herring.Meghan@mail.com</t>
  </si>
  <si>
    <t>Sabrina</t>
  </si>
  <si>
    <t>Mejia</t>
  </si>
  <si>
    <t>Sabrina.Mejia@mail.com</t>
  </si>
  <si>
    <t>Hudson</t>
  </si>
  <si>
    <t>Melanie</t>
  </si>
  <si>
    <t>Hudson.Melanie@mail.com</t>
  </si>
  <si>
    <t>Xavier</t>
  </si>
  <si>
    <t>Xavier.Black@mail.com</t>
  </si>
  <si>
    <t>Kai</t>
  </si>
  <si>
    <t>Kai.Daniels@mail.com</t>
  </si>
  <si>
    <t>Adaobi.Okeke@mail.com</t>
  </si>
  <si>
    <t>Alex</t>
  </si>
  <si>
    <t>Nguyen</t>
  </si>
  <si>
    <t>Alex.Nguyen@mail.com</t>
  </si>
  <si>
    <t>Amanda</t>
  </si>
  <si>
    <t>Xu</t>
  </si>
  <si>
    <t>Amanda.Xu@mail.com</t>
  </si>
  <si>
    <t>Annabella</t>
  </si>
  <si>
    <t>O'Reily</t>
  </si>
  <si>
    <t>Annabella.O'Reily@mail.com</t>
  </si>
  <si>
    <t>Diana</t>
  </si>
  <si>
    <t>Achebe</t>
  </si>
  <si>
    <t>Diana.Achebe@mail.com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</si>
</sst>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rgb="FF202124"/>
      <name val="Roboto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left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Font="1"/>
    <xf borderId="0" fillId="2" fontId="2" numFmtId="164" xfId="0" applyAlignment="1" applyFont="1" applyNumberFormat="1">
      <alignment horizontal="left"/>
    </xf>
    <xf borderId="0" fillId="2" fontId="4" numFmtId="0" xfId="0" applyAlignment="1" applyFon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25"/>
    <col customWidth="1" min="4" max="6" width="12.63"/>
  </cols>
  <sheetData>
    <row r="1" ht="15.75" customHeight="1">
      <c r="A1" s="1" t="s">
        <v>0</v>
      </c>
      <c r="B1" s="1" t="s">
        <v>3</v>
      </c>
      <c r="C1" s="1" t="s">
        <v>4</v>
      </c>
      <c r="D1" s="1" t="s">
        <v>5</v>
      </c>
      <c r="E1" s="3"/>
      <c r="F1" s="3"/>
      <c r="G1" s="5" t="s">
        <v>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 t="s">
        <v>12</v>
      </c>
      <c r="B2" s="6" t="s">
        <v>13</v>
      </c>
      <c r="C2" s="6" t="s">
        <v>14</v>
      </c>
      <c r="D2" s="3" t="b">
        <f>IFERROR(__xludf.DUMMYFUNCTION("ISEMAIL(C2)"),TRUE)</f>
        <v>1</v>
      </c>
      <c r="E2" s="3"/>
      <c r="F2" s="3"/>
      <c r="G2" s="2" t="str">
        <f>CONCATENATE("Hello ", TRIM(A2),",")</f>
        <v>Hello Hodges,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 t="s">
        <v>18</v>
      </c>
      <c r="B3" s="6" t="s">
        <v>19</v>
      </c>
      <c r="C3" s="6" t="s">
        <v>20</v>
      </c>
      <c r="D3" s="3" t="b">
        <f>IFERROR(__xludf.DUMMYFUNCTION("ISEMAIL(C3)"),TRUE)</f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0" t="s">
        <v>24</v>
      </c>
      <c r="B4" s="10" t="s">
        <v>25</v>
      </c>
      <c r="C4" s="10" t="s">
        <v>26</v>
      </c>
      <c r="D4" s="3" t="b">
        <f>IFERROR(__xludf.DUMMYFUNCTION("ISEMAIL(C4)"),FALSE)</f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28</v>
      </c>
      <c r="B5" s="6" t="s">
        <v>29</v>
      </c>
      <c r="C5" s="6" t="s">
        <v>30</v>
      </c>
      <c r="D5" s="3" t="b">
        <f>IFERROR(__xludf.DUMMYFUNCTION("ISEMAIL(C5)"),TRUE)</f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" t="s">
        <v>28</v>
      </c>
      <c r="B6" s="6" t="s">
        <v>29</v>
      </c>
      <c r="C6" s="6" t="s">
        <v>30</v>
      </c>
      <c r="D6" s="3" t="b">
        <f>IFERROR(__xludf.DUMMYFUNCTION("ISEMAIL(C6)"),TRUE)</f>
        <v>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" t="s">
        <v>31</v>
      </c>
      <c r="B7" s="6" t="s">
        <v>32</v>
      </c>
      <c r="C7" s="6" t="s">
        <v>33</v>
      </c>
      <c r="D7" s="3" t="b">
        <f>IFERROR(__xludf.DUMMYFUNCTION("ISEMAIL(C7)"),TRUE)</f>
        <v>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6" t="s">
        <v>34</v>
      </c>
      <c r="B8" s="6" t="s">
        <v>35</v>
      </c>
      <c r="C8" s="6" t="s">
        <v>36</v>
      </c>
      <c r="D8" s="3" t="b">
        <f>IFERROR(__xludf.DUMMYFUNCTION("ISEMAIL(C8)"),TRUE)</f>
        <v>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6" t="s">
        <v>37</v>
      </c>
      <c r="B9" s="6" t="s">
        <v>38</v>
      </c>
      <c r="C9" s="6" t="s">
        <v>39</v>
      </c>
      <c r="D9" s="3" t="b">
        <f>IFERROR(__xludf.DUMMYFUNCTION("ISEMAIL(C9)"),TRUE)</f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6" t="s">
        <v>40</v>
      </c>
      <c r="B10" s="6" t="s">
        <v>41</v>
      </c>
      <c r="C10" s="6" t="s">
        <v>42</v>
      </c>
      <c r="D10" s="3" t="b">
        <f>IFERROR(__xludf.DUMMYFUNCTION("ISEMAIL(C10)"),TRUE)</f>
        <v>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6" t="s">
        <v>43</v>
      </c>
      <c r="B11" s="6" t="s">
        <v>44</v>
      </c>
      <c r="C11" s="6" t="s">
        <v>45</v>
      </c>
      <c r="D11" s="3" t="b">
        <f>IFERROR(__xludf.DUMMYFUNCTION("ISEMAIL(C11)"),TRUE)</f>
        <v>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6" t="s">
        <v>46</v>
      </c>
      <c r="B12" s="6" t="s">
        <v>47</v>
      </c>
      <c r="C12" s="6" t="s">
        <v>48</v>
      </c>
      <c r="D12" s="3" t="b">
        <f>IFERROR(__xludf.DUMMYFUNCTION("ISEMAIL(C12)"),TRUE)</f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6" t="s">
        <v>49</v>
      </c>
      <c r="B13" s="6" t="s">
        <v>50</v>
      </c>
      <c r="C13" s="6" t="s">
        <v>51</v>
      </c>
      <c r="D13" s="3" t="b">
        <f>IFERROR(__xludf.DUMMYFUNCTION("ISEMAIL(C13)"),TRUE)</f>
        <v>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6" t="s">
        <v>52</v>
      </c>
      <c r="B14" s="6" t="s">
        <v>53</v>
      </c>
      <c r="C14" s="6" t="s">
        <v>54</v>
      </c>
      <c r="D14" s="3" t="b">
        <f>IFERROR(__xludf.DUMMYFUNCTION("ISEMAIL(C14)"),TRUE)</f>
        <v>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6" t="s">
        <v>55</v>
      </c>
      <c r="B15" s="6" t="s">
        <v>56</v>
      </c>
      <c r="C15" s="6" t="s">
        <v>57</v>
      </c>
      <c r="D15" s="3" t="b">
        <f>IFERROR(__xludf.DUMMYFUNCTION("ISEMAIL(C15)"),TRUE)</f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6" t="s">
        <v>58</v>
      </c>
      <c r="B16" s="6" t="s">
        <v>59</v>
      </c>
      <c r="C16" s="6" t="s">
        <v>60</v>
      </c>
      <c r="D16" s="3" t="b">
        <f>IFERROR(__xludf.DUMMYFUNCTION("ISEMAIL(C16)"),TRUE)</f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6" t="s">
        <v>61</v>
      </c>
      <c r="B17" s="6" t="s">
        <v>62</v>
      </c>
      <c r="C17" s="6" t="s">
        <v>63</v>
      </c>
      <c r="D17" s="3" t="b">
        <f>IFERROR(__xludf.DUMMYFUNCTION("ISEMAIL(C17)"),TRUE)</f>
        <v>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6" t="s">
        <v>64</v>
      </c>
      <c r="B18" s="6" t="s">
        <v>65</v>
      </c>
      <c r="C18" s="6" t="s">
        <v>66</v>
      </c>
      <c r="D18" s="3" t="b">
        <f>IFERROR(__xludf.DUMMYFUNCTION("ISEMAIL(C18)"),TRUE)</f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6" t="s">
        <v>67</v>
      </c>
      <c r="B19" s="6" t="s">
        <v>68</v>
      </c>
      <c r="C19" s="6" t="s">
        <v>69</v>
      </c>
      <c r="D19" s="3" t="b">
        <f>IFERROR(__xludf.DUMMYFUNCTION("ISEMAIL(C19)"),TRUE)</f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6" t="s">
        <v>70</v>
      </c>
      <c r="B20" s="6" t="s">
        <v>71</v>
      </c>
      <c r="C20" s="6" t="s">
        <v>72</v>
      </c>
      <c r="D20" s="3" t="b">
        <f>IFERROR(__xludf.DUMMYFUNCTION("ISEMAIL(C20)"),TRUE)</f>
        <v>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" t="s">
        <v>73</v>
      </c>
      <c r="B21" s="6" t="s">
        <v>74</v>
      </c>
      <c r="C21" s="6" t="s">
        <v>75</v>
      </c>
      <c r="D21" s="3" t="b">
        <f>IFERROR(__xludf.DUMMYFUNCTION("ISEMAIL(C21)"),TRUE)</f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" t="s">
        <v>76</v>
      </c>
      <c r="B22" s="6" t="s">
        <v>77</v>
      </c>
      <c r="C22" s="6" t="s">
        <v>78</v>
      </c>
      <c r="D22" s="3" t="b">
        <f>IFERROR(__xludf.DUMMYFUNCTION("ISEMAIL(C22)"),TRUE)</f>
        <v>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 t="s">
        <v>79</v>
      </c>
      <c r="B23" s="6" t="s">
        <v>77</v>
      </c>
      <c r="C23" s="6" t="s">
        <v>78</v>
      </c>
      <c r="D23" s="3" t="b">
        <f>IFERROR(__xludf.DUMMYFUNCTION("ISEMAIL(C23)"),TRUE)</f>
        <v>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" t="s">
        <v>80</v>
      </c>
      <c r="B24" s="6" t="s">
        <v>79</v>
      </c>
      <c r="C24" s="6" t="s">
        <v>81</v>
      </c>
      <c r="D24" s="3" t="b">
        <f>IFERROR(__xludf.DUMMYFUNCTION("ISEMAIL(C24)"),TRUE)</f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" t="s">
        <v>82</v>
      </c>
      <c r="B25" s="6" t="s">
        <v>83</v>
      </c>
      <c r="C25" s="6" t="s">
        <v>84</v>
      </c>
      <c r="D25" s="3" t="b">
        <f>IFERROR(__xludf.DUMMYFUNCTION("ISEMAIL(C25)"),TRUE)</f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 t="s">
        <v>85</v>
      </c>
      <c r="B26" s="6" t="s">
        <v>86</v>
      </c>
      <c r="C26" s="6" t="s">
        <v>87</v>
      </c>
      <c r="D26" s="3" t="b">
        <f>IFERROR(__xludf.DUMMYFUNCTION("ISEMAIL(C26)"),TRUE)</f>
        <v>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 t="s">
        <v>88</v>
      </c>
      <c r="B27" s="6" t="s">
        <v>89</v>
      </c>
      <c r="C27" s="6" t="s">
        <v>90</v>
      </c>
      <c r="D27" s="3" t="b">
        <f>IFERROR(__xludf.DUMMYFUNCTION("ISEMAIL(C27)"),TRUE)</f>
        <v>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 t="s">
        <v>91</v>
      </c>
      <c r="B28" s="6" t="s">
        <v>92</v>
      </c>
      <c r="C28" s="6" t="s">
        <v>93</v>
      </c>
      <c r="D28" s="3" t="b">
        <f>IFERROR(__xludf.DUMMYFUNCTION("ISEMAIL(C28)"),TRUE)</f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" t="s">
        <v>94</v>
      </c>
      <c r="B29" s="6" t="s">
        <v>95</v>
      </c>
      <c r="C29" s="6" t="s">
        <v>96</v>
      </c>
      <c r="D29" s="3" t="b">
        <f>IFERROR(__xludf.DUMMYFUNCTION("ISEMAIL(C29)"),TRUE)</f>
        <v>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 t="s">
        <v>97</v>
      </c>
      <c r="B30" s="6" t="s">
        <v>98</v>
      </c>
      <c r="C30" s="6" t="s">
        <v>99</v>
      </c>
      <c r="D30" s="3" t="b">
        <f>IFERROR(__xludf.DUMMYFUNCTION("ISEMAIL(C30)"),TRUE)</f>
        <v>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 t="s">
        <v>100</v>
      </c>
      <c r="B31" s="6" t="s">
        <v>101</v>
      </c>
      <c r="C31" s="6" t="s">
        <v>102</v>
      </c>
      <c r="D31" s="3" t="b">
        <f>IFERROR(__xludf.DUMMYFUNCTION("ISEMAIL(C31)"),TRUE)</f>
        <v>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6" t="s">
        <v>103</v>
      </c>
      <c r="B32" s="6" t="s">
        <v>104</v>
      </c>
      <c r="C32" s="6" t="s">
        <v>105</v>
      </c>
      <c r="D32" s="3" t="b">
        <f>IFERROR(__xludf.DUMMYFUNCTION("ISEMAIL(C32)"),TRUE)</f>
        <v>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6" t="s">
        <v>106</v>
      </c>
      <c r="B33" s="6" t="s">
        <v>104</v>
      </c>
      <c r="C33" s="6" t="s">
        <v>105</v>
      </c>
      <c r="D33" s="3" t="b">
        <f>IFERROR(__xludf.DUMMYFUNCTION("ISEMAIL(C33)"),TRUE)</f>
        <v>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" t="s">
        <v>107</v>
      </c>
      <c r="B34" s="6" t="s">
        <v>108</v>
      </c>
      <c r="C34" s="6" t="s">
        <v>109</v>
      </c>
      <c r="D34" s="3" t="b">
        <f>IFERROR(__xludf.DUMMYFUNCTION("ISEMAIL(C34)"),TRUE)</f>
        <v>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" t="s">
        <v>110</v>
      </c>
      <c r="B35" s="6" t="s">
        <v>111</v>
      </c>
      <c r="C35" s="6" t="s">
        <v>112</v>
      </c>
      <c r="D35" s="3" t="b">
        <f>IFERROR(__xludf.DUMMYFUNCTION("ISEMAIL(C35)"),TRUE)</f>
        <v>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" t="s">
        <v>113</v>
      </c>
      <c r="B36" s="6" t="s">
        <v>114</v>
      </c>
      <c r="C36" s="6" t="s">
        <v>115</v>
      </c>
      <c r="D36" s="3" t="b">
        <f>IFERROR(__xludf.DUMMYFUNCTION("ISEMAIL(C36)"),TRUE)</f>
        <v>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" t="s">
        <v>116</v>
      </c>
      <c r="B37" s="6" t="s">
        <v>117</v>
      </c>
      <c r="C37" s="6" t="s">
        <v>118</v>
      </c>
      <c r="D37" s="3" t="b">
        <f>IFERROR(__xludf.DUMMYFUNCTION("ISEMAIL(C37)"),TRUE)</f>
        <v>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6" t="s">
        <v>119</v>
      </c>
      <c r="B38" s="6" t="s">
        <v>120</v>
      </c>
      <c r="C38" s="6" t="s">
        <v>121</v>
      </c>
      <c r="D38" s="3" t="b">
        <f>IFERROR(__xludf.DUMMYFUNCTION("ISEMAIL(C38)"),TRUE)</f>
        <v>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" t="s">
        <v>122</v>
      </c>
      <c r="B39" s="6" t="s">
        <v>123</v>
      </c>
      <c r="C39" s="6" t="s">
        <v>124</v>
      </c>
      <c r="D39" s="3" t="b">
        <f>IFERROR(__xludf.DUMMYFUNCTION("ISEMAIL(C39)"),TRUE)</f>
        <v>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6" t="s">
        <v>76</v>
      </c>
      <c r="B40" s="6" t="s">
        <v>125</v>
      </c>
      <c r="C40" s="6" t="s">
        <v>126</v>
      </c>
      <c r="D40" s="3" t="b">
        <f>IFERROR(__xludf.DUMMYFUNCTION("ISEMAIL(C40)"),TRUE)</f>
        <v>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" t="s">
        <v>127</v>
      </c>
      <c r="B41" s="6" t="s">
        <v>128</v>
      </c>
      <c r="C41" s="6" t="s">
        <v>129</v>
      </c>
      <c r="D41" s="3" t="b">
        <f>IFERROR(__xludf.DUMMYFUNCTION("ISEMAIL(C41)"),TRUE)</f>
        <v>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6" t="s">
        <v>130</v>
      </c>
      <c r="B42" s="6" t="s">
        <v>131</v>
      </c>
      <c r="C42" s="6" t="s">
        <v>132</v>
      </c>
      <c r="D42" s="3" t="b">
        <f>IFERROR(__xludf.DUMMYFUNCTION("ISEMAIL(C42)"),TRUE)</f>
        <v>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6" t="s">
        <v>133</v>
      </c>
      <c r="B43" s="6" t="s">
        <v>134</v>
      </c>
      <c r="C43" s="6" t="s">
        <v>135</v>
      </c>
      <c r="D43" s="3" t="b">
        <f>IFERROR(__xludf.DUMMYFUNCTION("ISEMAIL(C43)"),TRUE)</f>
        <v>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6" t="s">
        <v>136</v>
      </c>
      <c r="B44" s="6" t="s">
        <v>137</v>
      </c>
      <c r="C44" s="6" t="s">
        <v>138</v>
      </c>
      <c r="D44" s="3" t="b">
        <f>IFERROR(__xludf.DUMMYFUNCTION("ISEMAIL(C44)"),TRUE)</f>
        <v>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" t="s">
        <v>139</v>
      </c>
      <c r="B45" s="6" t="s">
        <v>140</v>
      </c>
      <c r="C45" s="6" t="s">
        <v>141</v>
      </c>
      <c r="D45" s="3" t="b">
        <f>IFERROR(__xludf.DUMMYFUNCTION("ISEMAIL(C45)"),TRUE)</f>
        <v>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" t="s">
        <v>142</v>
      </c>
      <c r="B46" s="6" t="s">
        <v>143</v>
      </c>
      <c r="C46" s="6" t="s">
        <v>144</v>
      </c>
      <c r="D46" s="3" t="b">
        <f>IFERROR(__xludf.DUMMYFUNCTION("ISEMAIL(C46)"),TRUE)</f>
        <v>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6" t="s">
        <v>145</v>
      </c>
      <c r="B47" s="6" t="s">
        <v>146</v>
      </c>
      <c r="C47" s="6" t="s">
        <v>147</v>
      </c>
      <c r="D47" s="3" t="b">
        <f>IFERROR(__xludf.DUMMYFUNCTION("ISEMAIL(C47)"),TRUE)</f>
        <v>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6" t="s">
        <v>148</v>
      </c>
      <c r="B48" s="6" t="s">
        <v>149</v>
      </c>
      <c r="C48" s="6" t="s">
        <v>150</v>
      </c>
      <c r="D48" s="3" t="b">
        <f>IFERROR(__xludf.DUMMYFUNCTION("ISEMAIL(C48)"),TRUE)</f>
        <v>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 t="s">
        <v>151</v>
      </c>
      <c r="B49" s="6" t="s">
        <v>152</v>
      </c>
      <c r="C49" s="6" t="s">
        <v>153</v>
      </c>
      <c r="D49" s="3" t="b">
        <f>IFERROR(__xludf.DUMMYFUNCTION("ISEMAIL(C49)"),TRUE)</f>
        <v>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6" t="s">
        <v>154</v>
      </c>
      <c r="B50" s="6" t="s">
        <v>155</v>
      </c>
      <c r="C50" s="6" t="s">
        <v>156</v>
      </c>
      <c r="D50" s="3" t="b">
        <f>IFERROR(__xludf.DUMMYFUNCTION("ISEMAIL(C50)"),TRUE)</f>
        <v>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6" t="s">
        <v>157</v>
      </c>
      <c r="B51" s="6" t="s">
        <v>158</v>
      </c>
      <c r="C51" s="6" t="s">
        <v>159</v>
      </c>
      <c r="D51" s="3" t="b">
        <f>IFERROR(__xludf.DUMMYFUNCTION("ISEMAIL(C51)"),TRUE)</f>
        <v>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6" t="s">
        <v>160</v>
      </c>
      <c r="B52" s="6" t="s">
        <v>161</v>
      </c>
      <c r="C52" s="6" t="s">
        <v>162</v>
      </c>
      <c r="D52" s="3" t="b">
        <f>IFERROR(__xludf.DUMMYFUNCTION("ISEMAIL(C52)"),TRUE)</f>
        <v>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6" t="s">
        <v>163</v>
      </c>
      <c r="B53" s="6" t="s">
        <v>164</v>
      </c>
      <c r="C53" s="6" t="s">
        <v>165</v>
      </c>
      <c r="D53" s="3" t="b">
        <f>IFERROR(__xludf.DUMMYFUNCTION("ISEMAIL(C53)"),TRUE)</f>
        <v>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6" t="s">
        <v>166</v>
      </c>
      <c r="B54" s="6" t="s">
        <v>167</v>
      </c>
      <c r="C54" s="6" t="s">
        <v>168</v>
      </c>
      <c r="D54" s="3" t="b">
        <f>IFERROR(__xludf.DUMMYFUNCTION("ISEMAIL(C54)"),TRUE)</f>
        <v>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6" t="s">
        <v>169</v>
      </c>
      <c r="B55" s="6" t="s">
        <v>170</v>
      </c>
      <c r="C55" s="6" t="s">
        <v>171</v>
      </c>
      <c r="D55" s="3" t="b">
        <f>IFERROR(__xludf.DUMMYFUNCTION("ISEMAIL(C55)"),TRUE)</f>
        <v>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6" t="s">
        <v>172</v>
      </c>
      <c r="B56" s="6" t="s">
        <v>173</v>
      </c>
      <c r="C56" s="6" t="s">
        <v>174</v>
      </c>
      <c r="D56" s="3" t="b">
        <f>IFERROR(__xludf.DUMMYFUNCTION("ISEMAIL(C56)"),TRUE)</f>
        <v>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6" t="s">
        <v>175</v>
      </c>
      <c r="B57" s="6" t="s">
        <v>176</v>
      </c>
      <c r="C57" s="6" t="s">
        <v>177</v>
      </c>
      <c r="D57" s="3" t="b">
        <f>IFERROR(__xludf.DUMMYFUNCTION("ISEMAIL(C57)"),TRUE)</f>
        <v>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6" t="s">
        <v>178</v>
      </c>
      <c r="B58" s="6" t="s">
        <v>179</v>
      </c>
      <c r="C58" s="6" t="s">
        <v>180</v>
      </c>
      <c r="D58" s="3" t="b">
        <f>IFERROR(__xludf.DUMMYFUNCTION("ISEMAIL(C58)"),TRUE)</f>
        <v>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6" t="s">
        <v>181</v>
      </c>
      <c r="B59" s="6" t="s">
        <v>182</v>
      </c>
      <c r="C59" s="6" t="s">
        <v>183</v>
      </c>
      <c r="D59" s="3" t="b">
        <f>IFERROR(__xludf.DUMMYFUNCTION("ISEMAIL(C59)"),TRUE)</f>
        <v>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6" t="s">
        <v>184</v>
      </c>
      <c r="B60" s="6" t="s">
        <v>185</v>
      </c>
      <c r="C60" s="6" t="s">
        <v>186</v>
      </c>
      <c r="D60" s="3" t="b">
        <f>IFERROR(__xludf.DUMMYFUNCTION("ISEMAIL(C60)"),TRUE)</f>
        <v>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6" t="s">
        <v>187</v>
      </c>
      <c r="B61" s="6" t="s">
        <v>188</v>
      </c>
      <c r="C61" s="6" t="s">
        <v>189</v>
      </c>
      <c r="D61" s="3" t="b">
        <f>IFERROR(__xludf.DUMMYFUNCTION("ISEMAIL(C61)"),TRUE)</f>
        <v>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6" t="s">
        <v>145</v>
      </c>
      <c r="B62" s="6" t="s">
        <v>190</v>
      </c>
      <c r="C62" s="6" t="s">
        <v>191</v>
      </c>
      <c r="D62" s="3" t="b">
        <f>IFERROR(__xludf.DUMMYFUNCTION("ISEMAIL(C62)"),TRUE)</f>
        <v>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6" t="s">
        <v>192</v>
      </c>
      <c r="B63" s="6" t="s">
        <v>193</v>
      </c>
      <c r="C63" s="6" t="s">
        <v>194</v>
      </c>
      <c r="D63" s="3" t="b">
        <f>IFERROR(__xludf.DUMMYFUNCTION("ISEMAIL(C63)"),TRUE)</f>
        <v>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6" t="s">
        <v>195</v>
      </c>
      <c r="B64" s="6" t="s">
        <v>196</v>
      </c>
      <c r="C64" s="6" t="s">
        <v>197</v>
      </c>
      <c r="D64" s="3" t="b">
        <f>IFERROR(__xludf.DUMMYFUNCTION("ISEMAIL(C64)"),TRUE)</f>
        <v>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6" t="s">
        <v>198</v>
      </c>
      <c r="B65" s="6" t="s">
        <v>199</v>
      </c>
      <c r="C65" s="6" t="s">
        <v>200</v>
      </c>
      <c r="D65" s="3" t="b">
        <f>IFERROR(__xludf.DUMMYFUNCTION("ISEMAIL(C65)"),TRUE)</f>
        <v>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6" t="s">
        <v>201</v>
      </c>
      <c r="B66" s="6" t="s">
        <v>202</v>
      </c>
      <c r="C66" s="6" t="s">
        <v>203</v>
      </c>
      <c r="D66" s="3" t="b">
        <f>IFERROR(__xludf.DUMMYFUNCTION("ISEMAIL(C66)"),TRUE)</f>
        <v>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6" t="s">
        <v>204</v>
      </c>
      <c r="B67" s="6" t="s">
        <v>205</v>
      </c>
      <c r="C67" s="6" t="s">
        <v>206</v>
      </c>
      <c r="D67" s="3" t="b">
        <f>IFERROR(__xludf.DUMMYFUNCTION("ISEMAIL(C67)"),TRUE)</f>
        <v>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6" t="s">
        <v>198</v>
      </c>
      <c r="B68" s="6" t="s">
        <v>207</v>
      </c>
      <c r="C68" s="6" t="s">
        <v>208</v>
      </c>
      <c r="D68" s="3" t="b">
        <f>IFERROR(__xludf.DUMMYFUNCTION("ISEMAIL(C68)"),TRUE)</f>
        <v>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6" t="s">
        <v>209</v>
      </c>
      <c r="B69" s="6" t="s">
        <v>210</v>
      </c>
      <c r="C69" s="6" t="s">
        <v>211</v>
      </c>
      <c r="D69" s="3" t="b">
        <f>IFERROR(__xludf.DUMMYFUNCTION("ISEMAIL(C69)"),TRUE)</f>
        <v>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6" t="s">
        <v>212</v>
      </c>
      <c r="B70" s="6" t="s">
        <v>213</v>
      </c>
      <c r="C70" s="6" t="s">
        <v>214</v>
      </c>
      <c r="D70" s="3" t="b">
        <f>IFERROR(__xludf.DUMMYFUNCTION("ISEMAIL(C70)"),TRUE)</f>
        <v>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6" t="s">
        <v>215</v>
      </c>
      <c r="B71" s="6" t="s">
        <v>216</v>
      </c>
      <c r="C71" s="6" t="s">
        <v>217</v>
      </c>
      <c r="D71" s="3" t="b">
        <f>IFERROR(__xludf.DUMMYFUNCTION("ISEMAIL(C71)"),TRUE)</f>
        <v>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6" t="s">
        <v>218</v>
      </c>
      <c r="B72" s="6" t="s">
        <v>219</v>
      </c>
      <c r="C72" s="6" t="s">
        <v>220</v>
      </c>
      <c r="D72" s="3" t="b">
        <f>IFERROR(__xludf.DUMMYFUNCTION("ISEMAIL(C72)"),TRUE)</f>
        <v>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6" t="s">
        <v>221</v>
      </c>
      <c r="B73" s="6" t="s">
        <v>222</v>
      </c>
      <c r="C73" s="6" t="s">
        <v>223</v>
      </c>
      <c r="D73" s="3" t="b">
        <f>IFERROR(__xludf.DUMMYFUNCTION("ISEMAIL(C73)"),TRUE)</f>
        <v>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6" t="s">
        <v>224</v>
      </c>
      <c r="B74" s="6" t="s">
        <v>225</v>
      </c>
      <c r="C74" s="6" t="s">
        <v>226</v>
      </c>
      <c r="D74" s="3" t="b">
        <f>IFERROR(__xludf.DUMMYFUNCTION("ISEMAIL(C74)"),TRUE)</f>
        <v>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6" t="s">
        <v>227</v>
      </c>
      <c r="B75" s="6" t="s">
        <v>228</v>
      </c>
      <c r="C75" s="6" t="s">
        <v>229</v>
      </c>
      <c r="D75" s="3" t="b">
        <f>IFERROR(__xludf.DUMMYFUNCTION("ISEMAIL(C75)"),TRUE)</f>
        <v>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6" t="s">
        <v>230</v>
      </c>
      <c r="B76" s="6" t="s">
        <v>231</v>
      </c>
      <c r="C76" s="6" t="s">
        <v>232</v>
      </c>
      <c r="D76" s="3" t="b">
        <f>IFERROR(__xludf.DUMMYFUNCTION("ISEMAIL(C76)"),TRUE)</f>
        <v>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6" t="s">
        <v>233</v>
      </c>
      <c r="B77" s="6" t="s">
        <v>234</v>
      </c>
      <c r="C77" s="6" t="s">
        <v>235</v>
      </c>
      <c r="D77" s="3" t="b">
        <f>IFERROR(__xludf.DUMMYFUNCTION("ISEMAIL(C77)"),TRUE)</f>
        <v>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6" t="s">
        <v>236</v>
      </c>
      <c r="B78" s="6" t="s">
        <v>237</v>
      </c>
      <c r="C78" s="6" t="s">
        <v>238</v>
      </c>
      <c r="D78" s="3" t="b">
        <f>IFERROR(__xludf.DUMMYFUNCTION("ISEMAIL(C78)"),TRUE)</f>
        <v>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6" t="s">
        <v>116</v>
      </c>
      <c r="B79" s="6" t="s">
        <v>239</v>
      </c>
      <c r="C79" s="6" t="s">
        <v>240</v>
      </c>
      <c r="D79" s="3" t="b">
        <f>IFERROR(__xludf.DUMMYFUNCTION("ISEMAIL(C79)"),TRUE)</f>
        <v>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6" t="s">
        <v>241</v>
      </c>
      <c r="B80" s="6" t="s">
        <v>113</v>
      </c>
      <c r="C80" s="6" t="s">
        <v>242</v>
      </c>
      <c r="D80" s="3" t="b">
        <f>IFERROR(__xludf.DUMMYFUNCTION("ISEMAIL(C80)"),TRUE)</f>
        <v>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6" t="s">
        <v>243</v>
      </c>
      <c r="B81" s="6" t="s">
        <v>244</v>
      </c>
      <c r="C81" s="6" t="s">
        <v>245</v>
      </c>
      <c r="D81" s="3" t="b">
        <f>IFERROR(__xludf.DUMMYFUNCTION("ISEMAIL(C81)"),TRUE)</f>
        <v>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6" t="s">
        <v>246</v>
      </c>
      <c r="B82" s="6" t="s">
        <v>247</v>
      </c>
      <c r="C82" s="6" t="s">
        <v>248</v>
      </c>
      <c r="D82" s="3" t="b">
        <f>IFERROR(__xludf.DUMMYFUNCTION("ISEMAIL(C82)"),TRUE)</f>
        <v>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6" t="s">
        <v>249</v>
      </c>
      <c r="B83" s="6" t="s">
        <v>250</v>
      </c>
      <c r="C83" s="6" t="s">
        <v>251</v>
      </c>
      <c r="D83" s="3" t="b">
        <f>IFERROR(__xludf.DUMMYFUNCTION("ISEMAIL(C83)"),TRUE)</f>
        <v>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6" t="s">
        <v>252</v>
      </c>
      <c r="B84" s="6" t="s">
        <v>253</v>
      </c>
      <c r="C84" s="6" t="s">
        <v>254</v>
      </c>
      <c r="D84" s="3" t="b">
        <f>IFERROR(__xludf.DUMMYFUNCTION("ISEMAIL(C84)"),TRUE)</f>
        <v>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6" t="s">
        <v>255</v>
      </c>
      <c r="B85" s="6" t="s">
        <v>256</v>
      </c>
      <c r="C85" s="6" t="s">
        <v>257</v>
      </c>
      <c r="D85" s="3" t="b">
        <f>IFERROR(__xludf.DUMMYFUNCTION("ISEMAIL(C85)"),TRUE)</f>
        <v>1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6" t="s">
        <v>258</v>
      </c>
      <c r="B86" s="6" t="s">
        <v>259</v>
      </c>
      <c r="C86" s="6" t="s">
        <v>260</v>
      </c>
      <c r="D86" s="3" t="b">
        <f>IFERROR(__xludf.DUMMYFUNCTION("ISEMAIL(C86)"),TRUE)</f>
        <v>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6" t="s">
        <v>261</v>
      </c>
      <c r="B87" s="6" t="s">
        <v>262</v>
      </c>
      <c r="C87" s="6" t="s">
        <v>263</v>
      </c>
      <c r="D87" s="3" t="b">
        <f>IFERROR(__xludf.DUMMYFUNCTION("ISEMAIL(C87)"),TRUE)</f>
        <v>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6" t="s">
        <v>264</v>
      </c>
      <c r="B88" s="6" t="s">
        <v>265</v>
      </c>
      <c r="C88" s="6" t="s">
        <v>266</v>
      </c>
      <c r="D88" s="3" t="b">
        <f>IFERROR(__xludf.DUMMYFUNCTION("ISEMAIL(C88)"),TRUE)</f>
        <v>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6" t="s">
        <v>267</v>
      </c>
      <c r="B89" s="6" t="s">
        <v>268</v>
      </c>
      <c r="C89" s="6" t="s">
        <v>269</v>
      </c>
      <c r="D89" s="3" t="b">
        <f>IFERROR(__xludf.DUMMYFUNCTION("ISEMAIL(C89)"),TRUE)</f>
        <v>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6" t="s">
        <v>270</v>
      </c>
      <c r="B90" s="6" t="s">
        <v>271</v>
      </c>
      <c r="C90" s="6" t="s">
        <v>272</v>
      </c>
      <c r="D90" s="3" t="b">
        <f>IFERROR(__xludf.DUMMYFUNCTION("ISEMAIL(C90)"),TRUE)</f>
        <v>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6" t="s">
        <v>273</v>
      </c>
      <c r="B91" s="6" t="s">
        <v>274</v>
      </c>
      <c r="C91" s="6" t="s">
        <v>275</v>
      </c>
      <c r="D91" s="3" t="b">
        <f>IFERROR(__xludf.DUMMYFUNCTION("ISEMAIL(C91)"),TRUE)</f>
        <v>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6" t="s">
        <v>276</v>
      </c>
      <c r="B92" s="6" t="s">
        <v>277</v>
      </c>
      <c r="C92" s="6" t="s">
        <v>278</v>
      </c>
      <c r="D92" s="3" t="b">
        <f>IFERROR(__xludf.DUMMYFUNCTION("ISEMAIL(C92)"),TRUE)</f>
        <v>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6" t="s">
        <v>279</v>
      </c>
      <c r="B93" s="6" t="s">
        <v>280</v>
      </c>
      <c r="C93" s="6" t="s">
        <v>281</v>
      </c>
      <c r="D93" s="3" t="b">
        <f>IFERROR(__xludf.DUMMYFUNCTION("ISEMAIL(C93)"),TRUE)</f>
        <v>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6" t="s">
        <v>282</v>
      </c>
      <c r="B94" s="6" t="s">
        <v>67</v>
      </c>
      <c r="C94" s="6" t="s">
        <v>283</v>
      </c>
      <c r="D94" s="3" t="b">
        <f>IFERROR(__xludf.DUMMYFUNCTION("ISEMAIL(C94)"),TRUE)</f>
        <v>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6" t="s">
        <v>284</v>
      </c>
      <c r="B95" s="6" t="s">
        <v>184</v>
      </c>
      <c r="C95" s="6" t="s">
        <v>285</v>
      </c>
      <c r="D95" s="3" t="b">
        <f>IFERROR(__xludf.DUMMYFUNCTION("ISEMAIL(C95)"),TRUE)</f>
        <v>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6" t="s">
        <v>24</v>
      </c>
      <c r="B96" s="6" t="s">
        <v>25</v>
      </c>
      <c r="C96" s="6" t="s">
        <v>286</v>
      </c>
      <c r="D96" s="3" t="b">
        <f>IFERROR(__xludf.DUMMYFUNCTION("ISEMAIL(C96)"),TRUE)</f>
        <v>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6" t="s">
        <v>287</v>
      </c>
      <c r="B97" s="6" t="s">
        <v>288</v>
      </c>
      <c r="C97" s="6" t="s">
        <v>289</v>
      </c>
      <c r="D97" s="3" t="b">
        <f>IFERROR(__xludf.DUMMYFUNCTION("ISEMAIL(C97)"),TRUE)</f>
        <v>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6" t="s">
        <v>290</v>
      </c>
      <c r="B98" s="6" t="s">
        <v>291</v>
      </c>
      <c r="C98" s="6" t="s">
        <v>292</v>
      </c>
      <c r="D98" s="3" t="b">
        <f>IFERROR(__xludf.DUMMYFUNCTION("ISEMAIL(C98)"),TRUE)</f>
        <v>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6" t="s">
        <v>293</v>
      </c>
      <c r="B99" s="6" t="s">
        <v>294</v>
      </c>
      <c r="C99" s="6" t="s">
        <v>295</v>
      </c>
      <c r="D99" s="3" t="b">
        <f>IFERROR(__xludf.DUMMYFUNCTION("ISEMAIL(C99)"),FALSE)</f>
        <v>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6" t="s">
        <v>296</v>
      </c>
      <c r="B100" s="6" t="s">
        <v>297</v>
      </c>
      <c r="C100" s="6" t="s">
        <v>298</v>
      </c>
      <c r="D100" s="3" t="b">
        <f>IFERROR(__xludf.DUMMYFUNCTION("ISEMAIL(C100)"),TRUE)</f>
        <v>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:C100">
    <cfRule type="expression" dxfId="0" priority="1">
      <formula>" =COUNTIF(C:C,C1)&gt;1"</formula>
    </cfRule>
  </conditionalFormatting>
  <dataValidations>
    <dataValidation type="custom" allowBlank="1" showDropDown="1" sqref="D2:D100">
      <formula1>NOT(ISERROR(SEARCH(("True"),(D2))))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tr">
        <f t="array" ref="A1:C15">SORT(Items!A1:Items!C15, Items!B1:Items!B15, FALSE)</f>
        <v>Mini Muffins</v>
      </c>
      <c r="B1" s="8" t="s">
        <v>15</v>
      </c>
      <c r="C1" s="8">
        <v>0.7542</v>
      </c>
      <c r="D1" s="8"/>
    </row>
    <row r="2" ht="15.75" customHeight="1">
      <c r="A2" s="8" t="s">
        <v>15</v>
      </c>
      <c r="B2" s="8" t="s">
        <v>15</v>
      </c>
      <c r="C2" s="8">
        <v>0.6234</v>
      </c>
      <c r="D2" s="8"/>
    </row>
    <row r="3" ht="15.75" customHeight="1">
      <c r="A3" s="8" t="s">
        <v>16</v>
      </c>
      <c r="B3" s="8" t="s">
        <v>16</v>
      </c>
      <c r="C3" s="8">
        <v>1.2362</v>
      </c>
      <c r="D3" s="8"/>
    </row>
    <row r="4" ht="15.75" customHeight="1">
      <c r="A4" s="8" t="s">
        <v>16</v>
      </c>
      <c r="B4" s="8" t="s">
        <v>16</v>
      </c>
      <c r="C4" s="8">
        <v>0.7592</v>
      </c>
      <c r="D4" s="8"/>
    </row>
    <row r="5" ht="15.75" customHeight="1">
      <c r="A5" s="8" t="s">
        <v>16</v>
      </c>
      <c r="B5" s="8" t="s">
        <v>16</v>
      </c>
      <c r="C5" s="8">
        <v>0.6076</v>
      </c>
      <c r="D5" s="8"/>
    </row>
    <row r="6" ht="15.75" customHeight="1">
      <c r="A6" s="8" t="s">
        <v>1</v>
      </c>
      <c r="B6" s="8" t="s">
        <v>2</v>
      </c>
      <c r="C6" s="8" t="s">
        <v>6</v>
      </c>
      <c r="D6" s="8"/>
    </row>
    <row r="7" ht="15.75" customHeight="1">
      <c r="A7" s="8" t="s">
        <v>21</v>
      </c>
      <c r="B7" s="8" t="s">
        <v>22</v>
      </c>
      <c r="C7" s="8">
        <v>0.5217</v>
      </c>
      <c r="D7" s="8"/>
    </row>
    <row r="8" ht="15.75" customHeight="1">
      <c r="A8" s="8" t="s">
        <v>21</v>
      </c>
      <c r="B8" s="8" t="s">
        <v>22</v>
      </c>
      <c r="C8" s="8">
        <v>0.43764</v>
      </c>
      <c r="D8" s="8"/>
    </row>
    <row r="9" ht="15.75" hidden="1" customHeight="1">
      <c r="A9" s="8" t="s">
        <v>17</v>
      </c>
      <c r="B9" s="8" t="s">
        <v>27</v>
      </c>
      <c r="C9" s="8">
        <v>3.7602</v>
      </c>
      <c r="D9" s="8"/>
    </row>
    <row r="10" ht="15.75" hidden="1" customHeight="1">
      <c r="A10" s="8" t="s">
        <v>17</v>
      </c>
      <c r="B10" s="8" t="s">
        <v>27</v>
      </c>
      <c r="C10" s="8">
        <v>3.0402</v>
      </c>
      <c r="D10" s="8"/>
    </row>
    <row r="11" ht="15.75" customHeight="1">
      <c r="A11" s="8" t="s">
        <v>23</v>
      </c>
      <c r="B11" s="8" t="s">
        <v>23</v>
      </c>
      <c r="C11" s="8">
        <v>1.6328</v>
      </c>
      <c r="D11" s="8"/>
    </row>
    <row r="12" ht="15.75" customHeight="1">
      <c r="A12" s="8" t="s">
        <v>23</v>
      </c>
      <c r="B12" s="8" t="s">
        <v>23</v>
      </c>
      <c r="C12" s="8">
        <v>1.4924</v>
      </c>
      <c r="D12" s="8"/>
    </row>
    <row r="13" ht="15.75" customHeight="1">
      <c r="A13" s="8" t="s">
        <v>23</v>
      </c>
      <c r="B13" s="8" t="s">
        <v>23</v>
      </c>
      <c r="C13" s="8">
        <v>1.1674</v>
      </c>
      <c r="D13" s="8"/>
    </row>
    <row r="14" ht="15.75" customHeight="1">
      <c r="A14" s="8" t="s">
        <v>11</v>
      </c>
      <c r="B14" s="8" t="s">
        <v>11</v>
      </c>
      <c r="C14" s="8">
        <v>2.6984</v>
      </c>
      <c r="D14" s="8"/>
    </row>
    <row r="15" ht="15.75" customHeight="1">
      <c r="A15" s="8" t="s">
        <v>11</v>
      </c>
      <c r="B15" s="8" t="s">
        <v>11</v>
      </c>
      <c r="C15" s="8">
        <v>2.2512</v>
      </c>
      <c r="D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1000">
    <filterColumn colId="0">
      <filters blank="1">
        <filter val="Item Name"/>
        <filter val="Donut holes"/>
        <filter val="Glazed Donuts"/>
        <filter val="Biscuit"/>
        <filter val="Chocolate Donuts"/>
        <filter val="Mini Muffins"/>
      </filters>
    </filterColumn>
  </autoFilter>
  <customSheetViews>
    <customSheetView guid="{CF581F5B-5766-49BB-9E99-576672442F3C}" filter="1" showAutoFilter="1">
      <autoFilter ref="$A$1:$Z$1000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2" t="s">
        <v>2</v>
      </c>
      <c r="C1" s="1" t="s">
        <v>6</v>
      </c>
      <c r="D1" s="1" t="s">
        <v>7</v>
      </c>
      <c r="E1" s="4" t="s">
        <v>8</v>
      </c>
      <c r="F1" s="2" t="s">
        <v>10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 t="s">
        <v>11</v>
      </c>
      <c r="B2" s="7" t="str">
        <f t="shared" ref="B2:B15" si="1">PROPER(A2)
</f>
        <v>Biscuit</v>
      </c>
      <c r="C2" s="7">
        <v>2.6984</v>
      </c>
      <c r="D2" s="7">
        <v>1.0</v>
      </c>
      <c r="E2" s="9">
        <f t="shared" ref="E2:E15" si="2">ROUND(C2*D2, 2)</f>
        <v>2.7</v>
      </c>
      <c r="F2" s="2">
        <f t="shared" ref="F2:F15" si="3">TRUNC(C2, 4)</f>
        <v>2.6984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 t="s">
        <v>17</v>
      </c>
      <c r="B3" s="7" t="str">
        <f t="shared" si="1"/>
        <v>Cinnamon Bun</v>
      </c>
      <c r="C3" s="7">
        <v>3.7602</v>
      </c>
      <c r="D3" s="7">
        <v>1.0</v>
      </c>
      <c r="E3" s="9">
        <f t="shared" si="2"/>
        <v>3.76</v>
      </c>
      <c r="F3" s="2">
        <f t="shared" si="3"/>
        <v>3.7602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6" t="s">
        <v>17</v>
      </c>
      <c r="B4" s="7" t="str">
        <f t="shared" si="1"/>
        <v>Cinnamon Bun</v>
      </c>
      <c r="C4" s="7">
        <v>3.0402</v>
      </c>
      <c r="D4" s="7">
        <v>2.0</v>
      </c>
      <c r="E4" s="9">
        <f t="shared" si="2"/>
        <v>6.08</v>
      </c>
      <c r="F4" s="2">
        <f t="shared" si="3"/>
        <v>3.0402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23</v>
      </c>
      <c r="B5" s="7" t="str">
        <f t="shared" si="1"/>
        <v>Chocolate Donuts</v>
      </c>
      <c r="C5" s="7">
        <v>1.6328</v>
      </c>
      <c r="D5" s="7">
        <v>3.0</v>
      </c>
      <c r="E5" s="9">
        <f t="shared" si="2"/>
        <v>4.9</v>
      </c>
      <c r="F5" s="2">
        <f t="shared" si="3"/>
        <v>1.6328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" t="s">
        <v>15</v>
      </c>
      <c r="B6" s="7" t="str">
        <f t="shared" si="1"/>
        <v>Mini Muffins</v>
      </c>
      <c r="C6" s="7">
        <v>0.7542</v>
      </c>
      <c r="D6" s="7">
        <v>3.0</v>
      </c>
      <c r="E6" s="9">
        <f t="shared" si="2"/>
        <v>2.26</v>
      </c>
      <c r="F6" s="2">
        <f t="shared" si="3"/>
        <v>0.7542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" t="s">
        <v>11</v>
      </c>
      <c r="B7" s="7" t="str">
        <f t="shared" si="1"/>
        <v>Biscuit</v>
      </c>
      <c r="C7" s="7">
        <v>2.2512</v>
      </c>
      <c r="D7" s="7">
        <v>3.0</v>
      </c>
      <c r="E7" s="9">
        <f t="shared" si="2"/>
        <v>6.75</v>
      </c>
      <c r="F7" s="2">
        <f t="shared" si="3"/>
        <v>2.2512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6" t="s">
        <v>21</v>
      </c>
      <c r="B8" s="7" t="str">
        <f t="shared" si="1"/>
        <v>Donut Holes</v>
      </c>
      <c r="C8" s="7">
        <v>0.5217</v>
      </c>
      <c r="D8" s="7">
        <v>5.0</v>
      </c>
      <c r="E8" s="9">
        <f t="shared" si="2"/>
        <v>2.61</v>
      </c>
      <c r="F8" s="2">
        <f t="shared" si="3"/>
        <v>0.5217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6" t="s">
        <v>16</v>
      </c>
      <c r="B9" s="7" t="str">
        <f t="shared" si="1"/>
        <v>Glazed Donuts</v>
      </c>
      <c r="C9" s="7">
        <v>1.2362</v>
      </c>
      <c r="D9" s="7">
        <v>6.0</v>
      </c>
      <c r="E9" s="9">
        <f t="shared" si="2"/>
        <v>7.42</v>
      </c>
      <c r="F9" s="2">
        <f t="shared" si="3"/>
        <v>1.2362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6" t="s">
        <v>23</v>
      </c>
      <c r="B10" s="7" t="str">
        <f t="shared" si="1"/>
        <v>Chocolate Donuts</v>
      </c>
      <c r="C10" s="7">
        <v>1.4924</v>
      </c>
      <c r="D10" s="7">
        <v>6.0</v>
      </c>
      <c r="E10" s="9">
        <f t="shared" si="2"/>
        <v>8.95</v>
      </c>
      <c r="F10" s="2">
        <f t="shared" si="3"/>
        <v>1.4924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6" t="s">
        <v>15</v>
      </c>
      <c r="B11" s="7" t="str">
        <f t="shared" si="1"/>
        <v>Mini Muffins</v>
      </c>
      <c r="C11" s="7">
        <v>0.6234</v>
      </c>
      <c r="D11" s="7">
        <v>8.0</v>
      </c>
      <c r="E11" s="9">
        <f t="shared" si="2"/>
        <v>4.99</v>
      </c>
      <c r="F11" s="2">
        <f t="shared" si="3"/>
        <v>0.6234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6" t="s">
        <v>21</v>
      </c>
      <c r="B12" s="7" t="str">
        <f t="shared" si="1"/>
        <v>Donut Holes</v>
      </c>
      <c r="C12" s="7">
        <v>0.43764</v>
      </c>
      <c r="D12" s="7">
        <v>10.0</v>
      </c>
      <c r="E12" s="9">
        <f t="shared" si="2"/>
        <v>4.38</v>
      </c>
      <c r="F12" s="2">
        <f t="shared" si="3"/>
        <v>0.4376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6" t="s">
        <v>16</v>
      </c>
      <c r="B13" s="7" t="str">
        <f t="shared" si="1"/>
        <v>Glazed Donuts</v>
      </c>
      <c r="C13" s="7">
        <v>0.7592</v>
      </c>
      <c r="D13" s="7">
        <v>12.0</v>
      </c>
      <c r="E13" s="9">
        <f t="shared" si="2"/>
        <v>9.11</v>
      </c>
      <c r="F13" s="2">
        <f t="shared" si="3"/>
        <v>0.7592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6" t="s">
        <v>23</v>
      </c>
      <c r="B14" s="7" t="str">
        <f t="shared" si="1"/>
        <v>Chocolate Donuts</v>
      </c>
      <c r="C14" s="7">
        <v>1.1674</v>
      </c>
      <c r="D14" s="7">
        <v>12.0</v>
      </c>
      <c r="E14" s="9">
        <f t="shared" si="2"/>
        <v>14.01</v>
      </c>
      <c r="F14" s="2">
        <f t="shared" si="3"/>
        <v>1.1674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6" t="s">
        <v>16</v>
      </c>
      <c r="B15" s="7" t="str">
        <f t="shared" si="1"/>
        <v>Glazed Donuts</v>
      </c>
      <c r="C15" s="7">
        <v>0.6076</v>
      </c>
      <c r="D15" s="7">
        <v>24.0</v>
      </c>
      <c r="E15" s="9">
        <f t="shared" si="2"/>
        <v>14.58</v>
      </c>
      <c r="F15" s="2">
        <f t="shared" si="3"/>
        <v>0.6076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1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1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1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1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1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1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1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1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1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1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1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1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1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1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1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1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1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1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1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1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1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1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1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1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1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1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1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1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1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1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1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1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1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1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1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1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1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1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1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1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1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1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1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1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1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1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1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1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1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1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1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1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1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1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1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1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1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1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1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1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1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1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1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1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1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1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1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1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1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1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1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1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1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1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1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1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1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1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1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1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1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1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1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1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1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1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1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1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1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1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1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1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1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1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1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1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1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1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1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1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1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1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1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1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1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1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1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1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1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1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1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1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1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1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1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1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1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1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1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1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1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1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1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1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1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1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1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1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1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1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1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1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1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1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1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1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1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1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1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1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1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1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1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1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1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1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1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1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1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1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1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1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1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1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1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1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1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1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1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1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1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1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1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1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1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1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1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1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1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1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1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1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1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1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1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1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1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1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1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1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1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1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1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1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1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1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1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